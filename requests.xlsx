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mue\OneDrive\Documents\WBLprojs\"/>
    </mc:Choice>
  </mc:AlternateContent>
  <xr:revisionPtr revIDLastSave="0" documentId="13_ncr:1_{6E44A459-5DB3-4470-A8D3-27581EE2E223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2" sheetId="2" r:id="rId1"/>
    <sheet name="Sheet1" sheetId="1" r:id="rId2"/>
  </sheets>
  <calcPr calcId="191028" iterateDelta="1E-4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1" i="1"/>
  <c r="E3" i="1"/>
  <c r="E19" i="1"/>
  <c r="E17" i="1"/>
  <c r="E12" i="1"/>
  <c r="E20" i="1"/>
  <c r="E40" i="1"/>
  <c r="E16" i="1"/>
  <c r="E42" i="1"/>
  <c r="E44" i="1"/>
  <c r="E41" i="1"/>
  <c r="E43" i="1"/>
  <c r="E24" i="1"/>
  <c r="E45" i="1"/>
  <c r="E9" i="1"/>
  <c r="E46" i="1"/>
  <c r="E14" i="1"/>
  <c r="E15" i="1"/>
  <c r="E23" i="1"/>
  <c r="E21" i="1"/>
  <c r="E28" i="1"/>
  <c r="E32" i="1"/>
  <c r="E35" i="1"/>
  <c r="E38" i="1"/>
  <c r="E22" i="1"/>
  <c r="E39" i="1"/>
  <c r="E27" i="1"/>
  <c r="E47" i="1"/>
  <c r="E5" i="1"/>
  <c r="E8" i="1"/>
  <c r="E11" i="1"/>
  <c r="E18" i="1"/>
  <c r="E36" i="1"/>
  <c r="E30" i="1"/>
  <c r="E33" i="1"/>
  <c r="E2" i="1"/>
  <c r="E7" i="1"/>
  <c r="E13" i="1"/>
  <c r="E34" i="1"/>
  <c r="E6" i="1"/>
  <c r="E29" i="1"/>
  <c r="E10" i="1"/>
  <c r="E26" i="1"/>
  <c r="E37" i="1"/>
  <c r="E25" i="1"/>
</calcChain>
</file>

<file path=xl/sharedStrings.xml><?xml version="1.0" encoding="utf-8"?>
<sst xmlns="http://schemas.openxmlformats.org/spreadsheetml/2006/main" count="184" uniqueCount="142">
  <si>
    <t>Row Labels</t>
  </si>
  <si>
    <t>Count of User</t>
  </si>
  <si>
    <t>Francis Kilango</t>
  </si>
  <si>
    <t>Frank Odindo</t>
  </si>
  <si>
    <t>Jeams Verronah</t>
  </si>
  <si>
    <t>Lucy Kahura</t>
  </si>
  <si>
    <t>Maina Mugo</t>
  </si>
  <si>
    <t>Moses Mwaura</t>
  </si>
  <si>
    <t>Silas Kipsang SK</t>
  </si>
  <si>
    <t>(blank)</t>
  </si>
  <si>
    <t>Grand Total</t>
  </si>
  <si>
    <t>Ref</t>
  </si>
  <si>
    <t>Client</t>
  </si>
  <si>
    <t>Entry Date</t>
  </si>
  <si>
    <t>Activity Date</t>
  </si>
  <si>
    <t>Priority</t>
  </si>
  <si>
    <t>User</t>
  </si>
  <si>
    <t>Escalation</t>
  </si>
  <si>
    <t>SLA Counter</t>
  </si>
  <si>
    <t>GroupID</t>
  </si>
  <si>
    <t>138740 [20-18935] 1-8HRW30K
GEORGE MBUTHIA KIMANI</t>
  </si>
  <si>
    <t>2026-02-21 12:22:52</t>
  </si>
  <si>
    <t>2026-03-02 14:00:23</t>
  </si>
  <si>
    <t>IA188-AK [20-3835] 1-21QUIUT
SMART BRANDS LIMITED</t>
  </si>
  <si>
    <t>2026-02-17 11:11:29</t>
  </si>
  <si>
    <t>2026-02-26 12:00:32</t>
  </si>
  <si>
    <t>111467 [20-6099] 1-58DL6Q6
AGA KHAN UNIVERSITY - THIKA THIKA</t>
  </si>
  <si>
    <t>2026-02-23 23:46:50</t>
  </si>
  <si>
    <t>2026-03-02 13:00:02</t>
  </si>
  <si>
    <t>144559 [20-23901] 1-8MZO35K
SAMUEL KARUGA</t>
  </si>
  <si>
    <t>2026-02-23 20:20:00</t>
  </si>
  <si>
    <t>2026-03-01 09:31:36</t>
  </si>
  <si>
    <t>143014 [20-22096] 1-8M7C22Y
INTRASPEED ARCPRO KENYA LTD.</t>
  </si>
  <si>
    <t>2026-02-25 08:52:37</t>
  </si>
  <si>
    <t>2026-03-02 14:05:51</t>
  </si>
  <si>
    <t>114905 [20-9226] 1-71JJGIK
Njiwa Sacco</t>
  </si>
  <si>
    <t>2026-02-25 11:33:07</t>
  </si>
  <si>
    <t>2026-03-02 14:00:24</t>
  </si>
  <si>
    <t>125688 [20-14486] 1-86WQ9BT
Michael Gachie</t>
  </si>
  <si>
    <t>2026-02-24 21:24:08</t>
  </si>
  <si>
    <t>2026-03-01 14:22:24</t>
  </si>
  <si>
    <t>IN019-AK [20-3051] 1-21FMRCR
NATURE KENYA (ISP)</t>
  </si>
  <si>
    <t>2026-02-26 11:05:20</t>
  </si>
  <si>
    <t>2026-03-02 14:00:25</t>
  </si>
  <si>
    <t>124627 [20-6249] 1-7ZQOUIM
Concord Petroleum Limited</t>
  </si>
  <si>
    <t>2026-02-26 16:13:55</t>
  </si>
  <si>
    <t>2026-03-02 14:08:50</t>
  </si>
  <si>
    <t>143370 [20-22409] 1-8MHEZGA
GEOFFREY KIMANI NDANUKO</t>
  </si>
  <si>
    <t>2026-02-25 19:28:56</t>
  </si>
  <si>
    <t>2026-03-01 17:00:25</t>
  </si>
  <si>
    <t>148457 [20-27653]
ALVI TRADING COMPANY LTD -NAIROBI</t>
  </si>
  <si>
    <t>2026-02-23 19:37:56</t>
  </si>
  <si>
    <t>2026-02-27 09:00:51</t>
  </si>
  <si>
    <t>145235 [20-24419] 1-8NH3PYW
GERALD MUTWIRI</t>
  </si>
  <si>
    <t>2026-02-27 11:04:14</t>
  </si>
  <si>
    <t>2026-03-02 14:05:23</t>
  </si>
  <si>
    <t>6167-AK [20-4016] 1-21M5JKF
TECHNOSERVE COFFEE INITIATIVE (ISP)</t>
  </si>
  <si>
    <t>2026-02-27 17:00:22</t>
  </si>
  <si>
    <t>2026-03-02 14:09:27</t>
  </si>
  <si>
    <t>121158-AK [20-2157] 1-216E7DX
JAMII SAVING &amp; CREDIT SOCIETY LTD</t>
  </si>
  <si>
    <t>2026-02-28 18:58:07</t>
  </si>
  <si>
    <t>2026-03-02 14:19:46</t>
  </si>
  <si>
    <t>140201 [20-19124] 1-8KLSW5I
BETHANY KIDS</t>
  </si>
  <si>
    <t>2026-02-28 20:10:59</t>
  </si>
  <si>
    <t>2026-03-02 11:00:14</t>
  </si>
  <si>
    <t>IT134-AK [20-4048] 1-21KT22O
THE FLOWER SOURCE LIMITED</t>
  </si>
  <si>
    <t>2026-02-25 09:54:08</t>
  </si>
  <si>
    <t>2026-02-26 17:00:45</t>
  </si>
  <si>
    <t>125077 [20-13195] 1-84PHSDW
Moses Ole Sakuda</t>
  </si>
  <si>
    <t>2026-02-28 17:42:52</t>
  </si>
  <si>
    <t>2026-03-01 18:02:07</t>
  </si>
  <si>
    <t>142544 [20-21168] 1-8LNQ2Z2
LAKE ELMETEITA-STAFF LINK</t>
  </si>
  <si>
    <t>2026-02-25 23:29:05</t>
  </si>
  <si>
    <t>2026-02-26 16:05:15</t>
  </si>
  <si>
    <t>Not allocated yet</t>
  </si>
  <si>
    <t>2026-02-28 08:01:59</t>
  </si>
  <si>
    <t>2026-02-28 21:00:47</t>
  </si>
  <si>
    <t>144106 [20-23413] 1-8MRXZ48
SEAWAYS KENYA LIMITED</t>
  </si>
  <si>
    <t>2026-03-02 08:39:08</t>
  </si>
  <si>
    <t>2026-03-02 15:01:37</t>
  </si>
  <si>
    <t>142670 [20-16203]
SIGINON GROUP LTD</t>
  </si>
  <si>
    <t>2026-03-02 10:21:21</t>
  </si>
  <si>
    <t>2026-03-02 15:04:12</t>
  </si>
  <si>
    <t>111662 [20-6626] 1-5GYJ8H5
ALLIANCE WEST TECHNOLOGIES</t>
  </si>
  <si>
    <t>2026-03-02 10:24:08</t>
  </si>
  <si>
    <t>2026-03-02 14:57:57</t>
  </si>
  <si>
    <t>144392 [20-23594] 1-8MVS59E
CHOVU LODGE LIMITED</t>
  </si>
  <si>
    <t>2026-03-02 08:57:50</t>
  </si>
  <si>
    <t>2026-03-02 12:55:37</t>
  </si>
  <si>
    <t>147915 [20-26835]
JANE WANGARI KINYANJUI</t>
  </si>
  <si>
    <t>2026-03-02 08:36:48</t>
  </si>
  <si>
    <t>2026-03-02 11:52:05</t>
  </si>
  <si>
    <t>117657-AK [31-2117] 1-215AV0T
ISCOS SECRETARIAT</t>
  </si>
  <si>
    <t>2026-03-02 12:46:42</t>
  </si>
  <si>
    <t>2026-03-02 15:04:16</t>
  </si>
  <si>
    <t>148090 [20-26959]
PLANTLAB KENYA LIMITED</t>
  </si>
  <si>
    <t>2026-03-02 13:39:10</t>
  </si>
  <si>
    <t>2026-03-02 15:08:51</t>
  </si>
  <si>
    <t>2026-03-02 14:07:15</t>
  </si>
  <si>
    <t>2026-03-02 15:04:02</t>
  </si>
  <si>
    <t>107350 [20-4278] 1-340IN8O
VFS KENYA LIMITED</t>
  </si>
  <si>
    <t>2026-03-02 13:16:04</t>
  </si>
  <si>
    <t>2026-03-02 14:07:37</t>
  </si>
  <si>
    <t>144156 [20-23476] 1-8MSEIIE
DENIS LELEI</t>
  </si>
  <si>
    <t>2026-03-02 11:20:18</t>
  </si>
  <si>
    <t>2026-03-02 11:59:47</t>
  </si>
  <si>
    <t>115580-AK [20-598] 1-20ZLAPH
A.I.M International</t>
  </si>
  <si>
    <t>2026-03-02 14:27:23</t>
  </si>
  <si>
    <t>2026-03-02 15:06:17</t>
  </si>
  <si>
    <t>2026-03-02 14:31:17</t>
  </si>
  <si>
    <t>148053 [20-27149]
GORETTI OTIENO</t>
  </si>
  <si>
    <t>2026-03-02 12:08:39</t>
  </si>
  <si>
    <t>2026-03-02 12:40:14</t>
  </si>
  <si>
    <t>124892 [20-12579] 1-8288QDC
Open World Solutions Ltd</t>
  </si>
  <si>
    <t>2026-03-02 13:37:42</t>
  </si>
  <si>
    <t>2026-03-02 14:05:34</t>
  </si>
  <si>
    <t>2026-03-02 14:36:45</t>
  </si>
  <si>
    <t>147780 [20-24785]
MBA CONSTRUCTION LTD</t>
  </si>
  <si>
    <t>2026-03-02 09:23:48</t>
  </si>
  <si>
    <t>2026-03-02 09:42:12</t>
  </si>
  <si>
    <t>147713 [20-26728]
BARRY CLEMENS</t>
  </si>
  <si>
    <t>2026-03-02 14:56:06</t>
  </si>
  <si>
    <t>2026-03-02 15:06:46</t>
  </si>
  <si>
    <t>2026-03-02 14:56:12</t>
  </si>
  <si>
    <t>75835 [20-6] 1-575KB7K
ACCESS KENYA GROUP LTD</t>
  </si>
  <si>
    <t>2026-03-02 15:01:25</t>
  </si>
  <si>
    <t>2026-03-02 15:06:21</t>
  </si>
  <si>
    <t>2026-03-02 09:45:03</t>
  </si>
  <si>
    <t>2026-03-02 09:45:17</t>
  </si>
  <si>
    <t>2026-03-02 11:07:10</t>
  </si>
  <si>
    <t>2026-03-02 11:07:21</t>
  </si>
  <si>
    <t>2026-03-02 11:00:18</t>
  </si>
  <si>
    <t>2026-03-02 11:00:26</t>
  </si>
  <si>
    <t>139963 [20-19613] 1-8JXA156
RAYMOND MWANGI</t>
  </si>
  <si>
    <t>2026-03-02 12:02:41</t>
  </si>
  <si>
    <t>2026-03-02 12:02:48</t>
  </si>
  <si>
    <t>2026-03-02 11:04:09</t>
  </si>
  <si>
    <t>2026-03-02 11:04:10</t>
  </si>
  <si>
    <t>2026-03-02 13:39:23</t>
  </si>
  <si>
    <t>2026-03-02 14:07:12</t>
  </si>
  <si>
    <t>132184 [20-16620] 1-8D3U7P6
SHEILAH TAYLOR</t>
  </si>
  <si>
    <t>2026-03-02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</si>
</sst>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cca Tome" refreshedDate="46083.632793750003" createdVersion="8" refreshedVersion="8" minRefreshableVersion="3" recordCount="46" xr:uid="{BCE059E4-6ABE-41C8-8E76-A9AE06C188E5}">
  <cacheSource type="worksheet">
    <worksheetSource ref="A1:I47" sheet="Sheet1"/>
  </cacheSource>
  <cacheFields count="9">
    <cacheField name="Ref" numFmtId="1">
      <sharedItems containsSemiMixedTypes="0" containsString="0" containsNumber="1" containsInteger="1" minValue="2775321" maxValue="2784750"/>
    </cacheField>
    <cacheField name="Client" numFmtId="0">
      <sharedItems/>
    </cacheField>
    <cacheField name="Entry Date" numFmtId="0">
      <sharedItems/>
    </cacheField>
    <cacheField name="Activity Date" numFmtId="0">
      <sharedItems containsBlank="1"/>
    </cacheField>
    <cacheField name="Priority" numFmtId="164">
      <sharedItems containsSemiMixedTypes="0" containsDate="1" containsString="0" containsMixedTypes="1" minDate="1900-01-05T11:53:12" maxDate="1900-01-08T01:37:31"/>
    </cacheField>
    <cacheField name="User" numFmtId="0">
      <sharedItems containsBlank="1" count="8">
        <s v="Maina Mugo"/>
        <m/>
        <s v="Lucy Kahura"/>
        <s v="Silas Kipsang SK"/>
        <s v="Jeams Verronah"/>
        <s v="Frank Odindo"/>
        <s v="Francis Kilango"/>
        <s v="Moses Mwaura"/>
      </sharedItems>
    </cacheField>
    <cacheField name="Escalation" numFmtId="0">
      <sharedItems containsNonDate="0" containsString="0" containsBlank="1"/>
    </cacheField>
    <cacheField name="SLA Counter" numFmtId="1">
      <sharedItems containsSemiMixedTypes="0" containsString="0" containsNumber="1" containsInteger="1" minValue="-27821" maxValue="0"/>
    </cacheField>
    <cacheField name="GroupI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778466"/>
    <s v="138740 [20-18935] 1-8HRW30K_x000a_GEORGE MBUTHIA KIMANI"/>
    <s v="2026-02-21 12:22:52"/>
    <s v="2026-03-02 14:00:23"/>
    <d v="1900-01-08T01:37:31"/>
    <x v="0"/>
    <m/>
    <n v="0"/>
    <m/>
  </r>
  <r>
    <n v="2775321"/>
    <s v="IA188-AK [20-3835] 1-21QUIUT_x000a_SMART BRANDS LIMITED"/>
    <s v="2026-02-17 11:11:29"/>
    <s v="2026-02-26 12:00:32"/>
    <d v="1900-01-08T00:49:03"/>
    <x v="1"/>
    <m/>
    <n v="0"/>
    <m/>
  </r>
  <r>
    <n v="2779952"/>
    <s v="111467 [20-6099] 1-58DL6Q6_x000a_AGA KHAN UNIVERSITY - THIKA THIKA"/>
    <s v="2026-02-23 23:46:50"/>
    <s v="2026-03-02 13:00:02"/>
    <d v="1900-01-05T13:13:12"/>
    <x v="1"/>
    <m/>
    <n v="-25535"/>
    <m/>
  </r>
  <r>
    <n v="2779874"/>
    <s v="144559 [20-23901] 1-8MZO35K_x000a_SAMUEL KARUGA"/>
    <s v="2026-02-23 20:20:00"/>
    <s v="2026-03-01 09:31:36"/>
    <d v="1900-01-04T13:11:36"/>
    <x v="2"/>
    <m/>
    <n v="0"/>
    <m/>
  </r>
  <r>
    <n v="2780801"/>
    <s v="143014 [20-22096] 1-8M7C22Y_x000a_INTRASPEED ARCPRO KENYA LTD."/>
    <s v="2026-02-25 08:52:37"/>
    <s v="2026-03-02 14:05:51"/>
    <d v="1900-01-04T05:13:14"/>
    <x v="1"/>
    <m/>
    <n v="0"/>
    <m/>
  </r>
  <r>
    <n v="2780975"/>
    <s v="114905 [20-9226] 1-71JJGIK_x000a_Njiwa Sacco"/>
    <s v="2026-02-25 11:33:07"/>
    <s v="2026-03-02 14:00:24"/>
    <d v="1900-01-04T02:27:17"/>
    <x v="0"/>
    <m/>
    <n v="0"/>
    <m/>
  </r>
  <r>
    <n v="2780622"/>
    <s v="125688 [20-14486] 1-86WQ9BT_x000a_Michael Gachie"/>
    <s v="2026-02-24 21:24:08"/>
    <s v="2026-03-01 14:22:24"/>
    <d v="1900-01-03T16:58:16"/>
    <x v="1"/>
    <m/>
    <n v="0"/>
    <m/>
  </r>
  <r>
    <n v="2781942"/>
    <s v="IN019-AK [20-3051] 1-21FMRCR_x000a_NATURE KENYA (ISP)"/>
    <s v="2026-02-26 11:05:20"/>
    <s v="2026-03-02 14:00:25"/>
    <d v="1900-01-03T02:55:05"/>
    <x v="0"/>
    <m/>
    <n v="0"/>
    <m/>
  </r>
  <r>
    <n v="2782348"/>
    <s v="124627 [20-6249] 1-7ZQOUIM_x000a_Concord Petroleum Limited"/>
    <s v="2026-02-26 16:13:55"/>
    <s v="2026-03-02 14:08:50"/>
    <d v="1900-01-02T21:54:55"/>
    <x v="1"/>
    <m/>
    <n v="0"/>
    <m/>
  </r>
  <r>
    <n v="2781555"/>
    <s v="143370 [20-22409] 1-8MHEZGA_x000a_GEOFFREY KIMANI NDANUKO"/>
    <s v="2026-02-25 19:28:56"/>
    <s v="2026-03-01 17:00:25"/>
    <d v="1900-01-02T21:31:29"/>
    <x v="2"/>
    <m/>
    <n v="0"/>
    <m/>
  </r>
  <r>
    <n v="2779843"/>
    <s v="148457 [20-27653]_x000a_ALVI TRADING COMPANY LTD -NAIROBI"/>
    <s v="2026-02-23 19:37:56"/>
    <s v="2026-02-27 09:00:51"/>
    <d v="1900-01-02T13:22:55"/>
    <x v="1"/>
    <m/>
    <n v="0"/>
    <m/>
  </r>
  <r>
    <n v="2782921"/>
    <s v="145235 [20-24419] 1-8NH3PYW_x000a_GERALD MUTWIRI"/>
    <s v="2026-02-27 11:04:14"/>
    <s v="2026-03-02 14:05:23"/>
    <d v="1900-01-02T03:01:09"/>
    <x v="1"/>
    <m/>
    <n v="0"/>
    <m/>
  </r>
  <r>
    <n v="2783246"/>
    <s v="6167-AK [20-4016] 1-21M5JKF_x000a_TECHNOSERVE COFFEE INITIATIVE (ISP)"/>
    <s v="2026-02-27 17:00:22"/>
    <s v="2026-03-02 14:09:27"/>
    <d v="1900-01-01T21:09:05"/>
    <x v="3"/>
    <m/>
    <n v="0"/>
    <m/>
  </r>
  <r>
    <n v="2783845"/>
    <s v="121158-AK [20-2157] 1-216E7DX_x000a_JAMII SAVING &amp; CREDIT SOCIETY LTD"/>
    <s v="2026-02-28 18:58:07"/>
    <s v="2026-03-02 14:19:46"/>
    <d v="1899-12-31T19:21:39"/>
    <x v="4"/>
    <m/>
    <n v="0"/>
    <m/>
  </r>
  <r>
    <n v="2783872"/>
    <s v="140201 [20-19124] 1-8KLSW5I_x000a_BETHANY KIDS"/>
    <s v="2026-02-28 20:10:59"/>
    <s v="2026-03-02 11:00:14"/>
    <d v="1899-12-31T14:49:15"/>
    <x v="0"/>
    <m/>
    <n v="0"/>
    <m/>
  </r>
  <r>
    <n v="2780852"/>
    <s v="IT134-AK [20-4048] 1-21KT22O_x000a_THE FLOWER SOURCE LIMITED"/>
    <s v="2026-02-25 09:54:08"/>
    <s v="2026-02-26 17:00:45"/>
    <d v="1899-12-31T07:06:37"/>
    <x v="1"/>
    <m/>
    <n v="0"/>
    <m/>
  </r>
  <r>
    <n v="2783779"/>
    <s v="125077 [20-13195] 1-84PHSDW_x000a_Moses Ole Sakuda"/>
    <s v="2026-02-28 17:42:52"/>
    <s v="2026-03-01 18:02:07"/>
    <d v="1899-12-31T00:19:15"/>
    <x v="2"/>
    <m/>
    <n v="0"/>
    <m/>
  </r>
  <r>
    <n v="2781666"/>
    <s v="142544 [20-21168] 1-8LNQ2Z2_x000a_LAKE ELMETEITA-STAFF LINK"/>
    <s v="2026-02-25 23:29:05"/>
    <s v="2026-02-26 16:05:15"/>
    <d v="1899-12-30T16:36:10"/>
    <x v="1"/>
    <m/>
    <n v="0"/>
    <m/>
  </r>
  <r>
    <n v="2783541"/>
    <s v="Not allocated yet"/>
    <s v="2026-02-28 08:01:59"/>
    <s v="2026-02-28 21:00:47"/>
    <d v="1899-12-30T12:58:48"/>
    <x v="1"/>
    <m/>
    <n v="0"/>
    <m/>
  </r>
  <r>
    <n v="2784369"/>
    <s v="144106 [20-23413] 1-8MRXZ48_x000a_SEAWAYS KENYA LIMITED"/>
    <s v="2026-03-02 08:39:08"/>
    <s v="2026-03-02 15:01:37"/>
    <d v="1899-12-30T06:22:29"/>
    <x v="5"/>
    <m/>
    <n v="0"/>
    <m/>
  </r>
  <r>
    <n v="2784461"/>
    <s v="142670 [20-16203]_x000a_SIGINON GROUP LTD"/>
    <s v="2026-03-02 10:21:21"/>
    <s v="2026-03-02 15:04:12"/>
    <d v="1899-12-30T04:42:51"/>
    <x v="6"/>
    <m/>
    <n v="0"/>
    <m/>
  </r>
  <r>
    <n v="2784468"/>
    <s v="111662 [20-6626] 1-5GYJ8H5_x000a_ALLIANCE WEST TECHNOLOGIES"/>
    <s v="2026-03-02 10:24:08"/>
    <s v="2026-03-02 14:57:57"/>
    <d v="1899-12-30T04:33:49"/>
    <x v="0"/>
    <m/>
    <n v="0"/>
    <m/>
  </r>
  <r>
    <n v="2784381"/>
    <s v="144392 [20-23594] 1-8MVS59E_x000a_CHOVU LODGE LIMITED"/>
    <s v="2026-03-02 08:57:50"/>
    <s v="2026-03-02 12:55:37"/>
    <d v="1899-12-30T03:57:47"/>
    <x v="6"/>
    <m/>
    <n v="0"/>
    <m/>
  </r>
  <r>
    <n v="2784366"/>
    <s v="147915 [20-26835]_x000a_JANE WANGARI KINYANJUI"/>
    <s v="2026-03-02 08:36:48"/>
    <s v="2026-03-02 11:52:05"/>
    <d v="1899-12-30T03:15:17"/>
    <x v="4"/>
    <m/>
    <n v="0"/>
    <m/>
  </r>
  <r>
    <n v="2784635"/>
    <s v="117657-AK [31-2117] 1-215AV0T_x000a_ISCOS SECRETARIAT"/>
    <s v="2026-03-02 12:46:42"/>
    <s v="2026-03-02 15:04:16"/>
    <d v="1899-12-30T02:17:34"/>
    <x v="4"/>
    <m/>
    <n v="0"/>
    <m/>
  </r>
  <r>
    <n v="2784667"/>
    <s v="148090 [20-26959]_x000a_PLANTLAB KENYA LIMITED"/>
    <s v="2026-03-02 13:39:10"/>
    <s v="2026-03-02 15:08:51"/>
    <d v="1899-12-30T01:29:41"/>
    <x v="5"/>
    <m/>
    <n v="0"/>
    <m/>
  </r>
  <r>
    <n v="2784709"/>
    <s v="Not allocated yet"/>
    <s v="2026-03-02 14:07:15"/>
    <s v="2026-03-02 15:04:02"/>
    <d v="1899-12-30T00:56:47"/>
    <x v="7"/>
    <m/>
    <n v="0"/>
    <m/>
  </r>
  <r>
    <n v="2784657"/>
    <s v="107350 [20-4278] 1-340IN8O_x000a_VFS KENYA LIMITED"/>
    <s v="2026-03-02 13:16:04"/>
    <s v="2026-03-02 14:07:37"/>
    <d v="1899-12-30T00:51:33"/>
    <x v="7"/>
    <m/>
    <n v="0"/>
    <m/>
  </r>
  <r>
    <n v="2784532"/>
    <s v="144156 [20-23476] 1-8MSEIIE_x000a_DENIS LELEI"/>
    <s v="2026-03-02 11:20:18"/>
    <s v="2026-03-02 11:59:47"/>
    <d v="1899-12-30T00:39:29"/>
    <x v="4"/>
    <m/>
    <n v="0"/>
    <m/>
  </r>
  <r>
    <n v="2784727"/>
    <s v="115580-AK [20-598] 1-20ZLAPH_x000a_A.I.M International"/>
    <s v="2026-03-02 14:27:23"/>
    <s v="2026-03-02 15:06:17"/>
    <d v="1899-12-30T00:38:54"/>
    <x v="6"/>
    <m/>
    <n v="-27821"/>
    <m/>
  </r>
  <r>
    <n v="2784731"/>
    <s v="Not allocated yet"/>
    <s v="2026-03-02 14:31:17"/>
    <s v="2026-03-02 15:04:02"/>
    <d v="1899-12-30T00:32:45"/>
    <x v="7"/>
    <m/>
    <n v="0"/>
    <m/>
  </r>
  <r>
    <n v="2784579"/>
    <s v="148053 [20-27149]_x000a_GORETTI OTIENO"/>
    <s v="2026-03-02 12:08:39"/>
    <s v="2026-03-02 12:40:14"/>
    <d v="1899-12-30T00:31:35"/>
    <x v="6"/>
    <m/>
    <n v="0"/>
    <m/>
  </r>
  <r>
    <n v="2784666"/>
    <s v="124892 [20-12579] 1-8288QDC_x000a_Open World Solutions Ltd"/>
    <s v="2026-03-02 13:37:42"/>
    <s v="2026-03-02 14:05:34"/>
    <d v="1899-12-30T00:27:52"/>
    <x v="7"/>
    <m/>
    <n v="0"/>
    <m/>
  </r>
  <r>
    <n v="2784735"/>
    <s v="Not allocated yet"/>
    <s v="2026-03-02 14:36:45"/>
    <s v="2026-03-02 15:04:02"/>
    <d v="1899-12-30T00:27:17"/>
    <x v="7"/>
    <m/>
    <n v="0"/>
    <m/>
  </r>
  <r>
    <n v="2784405"/>
    <s v="147780 [20-24785]_x000a_MBA CONSTRUCTION LTD"/>
    <s v="2026-03-02 09:23:48"/>
    <s v="2026-03-02 09:42:12"/>
    <d v="1899-12-30T00:18:24"/>
    <x v="4"/>
    <m/>
    <n v="0"/>
    <m/>
  </r>
  <r>
    <n v="2784745"/>
    <s v="147713 [20-26728]_x000a_BARRY CLEMENS"/>
    <s v="2026-03-02 14:56:06"/>
    <s v="2026-03-02 15:06:46"/>
    <d v="1899-12-30T00:10:40"/>
    <x v="1"/>
    <m/>
    <n v="0"/>
    <m/>
  </r>
  <r>
    <n v="2784746"/>
    <s v="Not allocated yet"/>
    <s v="2026-03-02 14:56:12"/>
    <s v="2026-03-02 15:04:02"/>
    <d v="1899-12-30T00:07:50"/>
    <x v="7"/>
    <m/>
    <n v="0"/>
    <m/>
  </r>
  <r>
    <n v="2784750"/>
    <s v="75835 [20-6] 1-575KB7K_x000a_ACCESS KENYA GROUP LTD"/>
    <s v="2026-03-02 15:01:25"/>
    <s v="2026-03-02 15:06:21"/>
    <d v="1899-12-30T00:04:56"/>
    <x v="7"/>
    <m/>
    <n v="0"/>
    <m/>
  </r>
  <r>
    <n v="2784426"/>
    <s v="Not allocated yet"/>
    <s v="2026-03-02 09:45:03"/>
    <s v="2026-03-02 09:45:17"/>
    <d v="1899-12-30T00:00:14"/>
    <x v="1"/>
    <m/>
    <n v="0"/>
    <m/>
  </r>
  <r>
    <n v="2784511"/>
    <s v="Not allocated yet"/>
    <s v="2026-03-02 11:07:10"/>
    <s v="2026-03-02 11:07:21"/>
    <d v="1899-12-30T00:00:11"/>
    <x v="1"/>
    <m/>
    <n v="0"/>
    <m/>
  </r>
  <r>
    <n v="2784504"/>
    <s v="Not allocated yet"/>
    <s v="2026-03-02 11:00:18"/>
    <s v="2026-03-02 11:00:26"/>
    <d v="1899-12-30T00:00:08"/>
    <x v="1"/>
    <m/>
    <n v="0"/>
    <m/>
  </r>
  <r>
    <n v="2784568"/>
    <s v="139963 [20-19613] 1-8JXA156_x000a_RAYMOND MWANGI"/>
    <s v="2026-03-02 12:02:41"/>
    <s v="2026-03-02 12:02:48"/>
    <d v="1899-12-30T00:00:07"/>
    <x v="1"/>
    <m/>
    <n v="0"/>
    <m/>
  </r>
  <r>
    <n v="2784507"/>
    <s v="Not allocated yet"/>
    <s v="2026-03-02 11:04:09"/>
    <s v="2026-03-02 11:04:10"/>
    <d v="1899-12-30T00:00:01"/>
    <x v="1"/>
    <m/>
    <n v="0"/>
    <m/>
  </r>
  <r>
    <n v="2784669"/>
    <s v="Not allocated yet"/>
    <s v="2026-03-02 13:39:23"/>
    <s v="2026-03-02 13:39:23"/>
    <d v="1899-12-30T00:00:00"/>
    <x v="1"/>
    <m/>
    <n v="0"/>
    <m/>
  </r>
  <r>
    <n v="2784708"/>
    <s v="Not allocated yet"/>
    <s v="2026-03-02 14:07:12"/>
    <s v="2026-03-02 14:07:12"/>
    <d v="1899-12-30T00:00:00"/>
    <x v="1"/>
    <m/>
    <n v="0"/>
    <m/>
  </r>
  <r>
    <n v="2784676"/>
    <s v="132184 [20-16620] 1-8D3U7P6_x000a_SHEILAH TAYLOR"/>
    <s v="2026-03-02 13:43:48"/>
    <m/>
    <n v="-46083.572083333333"/>
    <x v="1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229C8-EE18-4D17-9F0F-3DC7578B16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" firstHeaderRow="1" firstDataRow="1" firstDataCol="1"/>
  <pivotFields count="9">
    <pivotField numFmtId="1" showAll="0"/>
    <pivotField showAll="0"/>
    <pivotField showAll="0"/>
    <pivotField showAll="0"/>
    <pivotField numFmtId="164" showAll="0"/>
    <pivotField axis="axisRow" dataField="1" showAll="0">
      <items count="9">
        <item x="6"/>
        <item x="5"/>
        <item x="4"/>
        <item x="2"/>
        <item x="0"/>
        <item x="7"/>
        <item x="3"/>
        <item x="1"/>
        <item t="default"/>
      </items>
    </pivotField>
    <pivotField showAll="0"/>
    <pivotField numFmtId="1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User" fld="5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CA6F-CD91-4492-9684-BF50F66268B0}">
  <dimension ref="A1:B10"/>
  <sheetViews>
    <sheetView tabSelected="1" workbookViewId="0">
      <selection activeCell="F6" sqref="F6"/>
    </sheetView>
  </sheetViews>
  <sheetFormatPr defaultRowHeight="14.5" x14ac:dyDescent="0.35"/>
  <cols>
    <col min="1" max="1" width="14.26953125" bestFit="1" customWidth="1"/>
    <col min="2" max="2" width="12.26953125" bestFit="1" customWidth="1"/>
  </cols>
  <sheetData>
    <row r="1" spans="1:2" x14ac:dyDescent="0.35">
      <c r="A1" s="7" t="s">
        <v>0</v>
      </c>
      <c r="B1" t="s">
        <v>1</v>
      </c>
    </row>
    <row r="2" spans="1:2" x14ac:dyDescent="0.35">
      <c r="A2" s="2" t="s">
        <v>2</v>
      </c>
      <c r="B2">
        <v>4</v>
      </c>
    </row>
    <row r="3" spans="1:2" x14ac:dyDescent="0.35">
      <c r="A3" s="2" t="s">
        <v>3</v>
      </c>
      <c r="B3">
        <v>2</v>
      </c>
    </row>
    <row r="4" spans="1:2" x14ac:dyDescent="0.35">
      <c r="A4" s="2" t="s">
        <v>4</v>
      </c>
      <c r="B4">
        <v>5</v>
      </c>
    </row>
    <row r="5" spans="1:2" x14ac:dyDescent="0.35">
      <c r="A5" s="2" t="s">
        <v>5</v>
      </c>
      <c r="B5">
        <v>3</v>
      </c>
    </row>
    <row r="6" spans="1:2" x14ac:dyDescent="0.35">
      <c r="A6" s="2" t="s">
        <v>6</v>
      </c>
      <c r="B6">
        <v>5</v>
      </c>
    </row>
    <row r="7" spans="1:2" x14ac:dyDescent="0.35">
      <c r="A7" s="2" t="s">
        <v>7</v>
      </c>
      <c r="B7">
        <v>7</v>
      </c>
    </row>
    <row r="8" spans="1:2" x14ac:dyDescent="0.35">
      <c r="A8" s="2" t="s">
        <v>8</v>
      </c>
      <c r="B8">
        <v>1</v>
      </c>
    </row>
    <row r="9" spans="1:2" x14ac:dyDescent="0.35">
      <c r="A9" s="2" t="s">
        <v>9</v>
      </c>
    </row>
    <row r="10" spans="1:2" x14ac:dyDescent="0.35">
      <c r="A10" s="2" t="s">
        <v>10</v>
      </c>
      <c r="B10">
        <v>27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opLeftCell="B1" workbookViewId="0">
      <selection activeCell="E2" sqref="E2:E8"/>
    </sheetView>
  </sheetViews>
  <sheetFormatPr defaultRowHeight="14.5" x14ac:dyDescent="0.35"/>
  <cols>
    <col min="1" max="1" width="9.453125" customWidth="1"/>
    <col min="2" max="2" width="47.26953125" customWidth="1"/>
    <col min="3" max="4" width="25.54296875" customWidth="1"/>
    <col min="5" max="5" width="10.81640625" style="6" customWidth="1"/>
    <col min="6" max="6" width="21.54296875" customWidth="1"/>
    <col min="7" max="7" width="13.453125" customWidth="1"/>
    <col min="8" max="8" width="14.81640625" customWidth="1"/>
    <col min="9" max="9" width="9.453125" customWidth="1"/>
  </cols>
  <sheetData>
    <row r="1" spans="1:9" x14ac:dyDescent="0.35">
      <c r="A1" s="1" t="s">
        <v>11</v>
      </c>
      <c r="B1" s="1" t="s">
        <v>12</v>
      </c>
      <c r="C1" s="1" t="s">
        <v>13</v>
      </c>
      <c r="D1" s="3" t="s">
        <v>14</v>
      </c>
      <c r="E1" s="5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5">
      <c r="A2" s="4">
        <v>2778466</v>
      </c>
      <c r="B2" t="s">
        <v>20</v>
      </c>
      <c r="C2" t="s">
        <v>21</v>
      </c>
      <c r="D2" s="3" t="s">
        <v>22</v>
      </c>
      <c r="E2" s="6">
        <f t="shared" ref="E2:E47" si="0">D2-C2</f>
        <v>9.0677199074052623</v>
      </c>
      <c r="F2" t="s">
        <v>6</v>
      </c>
      <c r="H2" s="4">
        <v>0</v>
      </c>
    </row>
    <row r="3" spans="1:9" x14ac:dyDescent="0.35">
      <c r="A3" s="4">
        <v>2775321</v>
      </c>
      <c r="B3" t="s">
        <v>23</v>
      </c>
      <c r="C3" t="s">
        <v>24</v>
      </c>
      <c r="D3" s="3" t="s">
        <v>25</v>
      </c>
      <c r="E3" s="6">
        <f t="shared" si="0"/>
        <v>9.0340625000026193</v>
      </c>
      <c r="H3" s="4">
        <v>0</v>
      </c>
    </row>
    <row r="4" spans="1:9" x14ac:dyDescent="0.35">
      <c r="A4" s="4">
        <v>2779952</v>
      </c>
      <c r="B4" t="s">
        <v>26</v>
      </c>
      <c r="C4" t="s">
        <v>27</v>
      </c>
      <c r="D4" s="3" t="s">
        <v>28</v>
      </c>
      <c r="E4" s="6">
        <f t="shared" si="0"/>
        <v>6.5508333333345945</v>
      </c>
      <c r="H4" s="4">
        <v>-25535</v>
      </c>
    </row>
    <row r="5" spans="1:9" x14ac:dyDescent="0.35">
      <c r="A5" s="4">
        <v>2779874</v>
      </c>
      <c r="B5" t="s">
        <v>29</v>
      </c>
      <c r="C5" t="s">
        <v>30</v>
      </c>
      <c r="D5" s="3" t="s">
        <v>31</v>
      </c>
      <c r="E5" s="6">
        <f t="shared" si="0"/>
        <v>5.5497222222256823</v>
      </c>
      <c r="F5" t="s">
        <v>5</v>
      </c>
      <c r="H5" s="4">
        <v>0</v>
      </c>
    </row>
    <row r="6" spans="1:9" x14ac:dyDescent="0.35">
      <c r="A6" s="4">
        <v>2780801</v>
      </c>
      <c r="B6" t="s">
        <v>32</v>
      </c>
      <c r="C6" t="s">
        <v>33</v>
      </c>
      <c r="D6" s="3" t="s">
        <v>34</v>
      </c>
      <c r="E6" s="6">
        <f t="shared" si="0"/>
        <v>5.2175231481451192</v>
      </c>
      <c r="H6" s="4">
        <v>0</v>
      </c>
    </row>
    <row r="7" spans="1:9" x14ac:dyDescent="0.35">
      <c r="A7" s="4">
        <v>2780975</v>
      </c>
      <c r="B7" t="s">
        <v>35</v>
      </c>
      <c r="C7" t="s">
        <v>36</v>
      </c>
      <c r="D7" s="3" t="s">
        <v>37</v>
      </c>
      <c r="E7" s="6">
        <f t="shared" si="0"/>
        <v>5.1022800925929914</v>
      </c>
      <c r="F7" t="s">
        <v>6</v>
      </c>
      <c r="H7" s="4">
        <v>0</v>
      </c>
    </row>
    <row r="8" spans="1:9" x14ac:dyDescent="0.35">
      <c r="A8" s="4">
        <v>2780622</v>
      </c>
      <c r="B8" t="s">
        <v>38</v>
      </c>
      <c r="C8" t="s">
        <v>39</v>
      </c>
      <c r="D8" s="3" t="s">
        <v>40</v>
      </c>
      <c r="E8" s="6">
        <f t="shared" si="0"/>
        <v>4.7071296296271612</v>
      </c>
      <c r="H8" s="4">
        <v>0</v>
      </c>
    </row>
    <row r="9" spans="1:9" x14ac:dyDescent="0.35">
      <c r="A9" s="4">
        <v>2781942</v>
      </c>
      <c r="B9" t="s">
        <v>41</v>
      </c>
      <c r="C9" t="s">
        <v>42</v>
      </c>
      <c r="D9" s="3" t="s">
        <v>43</v>
      </c>
      <c r="E9" s="6">
        <f t="shared" si="0"/>
        <v>4.1215856481430819</v>
      </c>
      <c r="F9" t="s">
        <v>6</v>
      </c>
      <c r="H9" s="4">
        <v>0</v>
      </c>
    </row>
    <row r="10" spans="1:9" x14ac:dyDescent="0.35">
      <c r="A10" s="4">
        <v>2782348</v>
      </c>
      <c r="B10" t="s">
        <v>44</v>
      </c>
      <c r="C10" t="s">
        <v>45</v>
      </c>
      <c r="D10" s="3" t="s">
        <v>46</v>
      </c>
      <c r="E10" s="6">
        <f t="shared" si="0"/>
        <v>3.9131365740759065</v>
      </c>
      <c r="H10" s="4">
        <v>0</v>
      </c>
    </row>
    <row r="11" spans="1:9" x14ac:dyDescent="0.35">
      <c r="A11" s="4">
        <v>2781555</v>
      </c>
      <c r="B11" t="s">
        <v>47</v>
      </c>
      <c r="C11" t="s">
        <v>48</v>
      </c>
      <c r="D11" s="3" t="s">
        <v>49</v>
      </c>
      <c r="E11" s="6">
        <f t="shared" si="0"/>
        <v>3.8968634259217652</v>
      </c>
      <c r="F11" t="s">
        <v>5</v>
      </c>
      <c r="H11" s="4">
        <v>0</v>
      </c>
    </row>
    <row r="12" spans="1:9" x14ac:dyDescent="0.35">
      <c r="A12" s="4">
        <v>2779843</v>
      </c>
      <c r="B12" t="s">
        <v>50</v>
      </c>
      <c r="C12" t="s">
        <v>51</v>
      </c>
      <c r="D12" s="3" t="s">
        <v>52</v>
      </c>
      <c r="E12" s="6">
        <f t="shared" si="0"/>
        <v>3.557581018518249</v>
      </c>
      <c r="H12" s="4">
        <v>0</v>
      </c>
    </row>
    <row r="13" spans="1:9" x14ac:dyDescent="0.35">
      <c r="A13" s="4">
        <v>2782921</v>
      </c>
      <c r="B13" t="s">
        <v>53</v>
      </c>
      <c r="C13" t="s">
        <v>54</v>
      </c>
      <c r="D13" s="3" t="s">
        <v>55</v>
      </c>
      <c r="E13" s="6">
        <f t="shared" si="0"/>
        <v>3.1257986111158971</v>
      </c>
      <c r="H13" s="4">
        <v>0</v>
      </c>
    </row>
    <row r="14" spans="1:9" x14ac:dyDescent="0.35">
      <c r="A14" s="4">
        <v>2783246</v>
      </c>
      <c r="B14" t="s">
        <v>56</v>
      </c>
      <c r="C14" t="s">
        <v>57</v>
      </c>
      <c r="D14" s="3" t="s">
        <v>58</v>
      </c>
      <c r="E14" s="6">
        <f t="shared" si="0"/>
        <v>2.8813078703751671</v>
      </c>
      <c r="F14" t="s">
        <v>8</v>
      </c>
      <c r="H14" s="4">
        <v>0</v>
      </c>
    </row>
    <row r="15" spans="1:9" x14ac:dyDescent="0.35">
      <c r="A15" s="4">
        <v>2783845</v>
      </c>
      <c r="B15" t="s">
        <v>59</v>
      </c>
      <c r="C15" t="s">
        <v>60</v>
      </c>
      <c r="D15" s="3" t="s">
        <v>61</v>
      </c>
      <c r="E15" s="6">
        <f t="shared" si="0"/>
        <v>1.8067013888939982</v>
      </c>
      <c r="F15" t="s">
        <v>4</v>
      </c>
      <c r="H15" s="4">
        <v>0</v>
      </c>
    </row>
    <row r="16" spans="1:9" x14ac:dyDescent="0.35">
      <c r="A16" s="4">
        <v>2783872</v>
      </c>
      <c r="B16" t="s">
        <v>62</v>
      </c>
      <c r="C16" t="s">
        <v>63</v>
      </c>
      <c r="D16" s="3" t="s">
        <v>64</v>
      </c>
      <c r="E16" s="6">
        <f t="shared" si="0"/>
        <v>1.6175347222160781</v>
      </c>
      <c r="F16" t="s">
        <v>6</v>
      </c>
      <c r="H16" s="4">
        <v>0</v>
      </c>
    </row>
    <row r="17" spans="1:8" x14ac:dyDescent="0.35">
      <c r="A17" s="4">
        <v>2780852</v>
      </c>
      <c r="B17" t="s">
        <v>65</v>
      </c>
      <c r="C17" t="s">
        <v>66</v>
      </c>
      <c r="D17" s="3" t="s">
        <v>67</v>
      </c>
      <c r="E17" s="6">
        <f t="shared" si="0"/>
        <v>1.2962615740761976</v>
      </c>
      <c r="H17" s="4">
        <v>0</v>
      </c>
    </row>
    <row r="18" spans="1:8" x14ac:dyDescent="0.35">
      <c r="A18" s="4">
        <v>2783779</v>
      </c>
      <c r="B18" t="s">
        <v>68</v>
      </c>
      <c r="C18" t="s">
        <v>69</v>
      </c>
      <c r="D18" s="3" t="s">
        <v>70</v>
      </c>
      <c r="E18" s="6">
        <f t="shared" si="0"/>
        <v>1.0133680555591127</v>
      </c>
      <c r="F18" t="s">
        <v>5</v>
      </c>
      <c r="H18" s="4">
        <v>0</v>
      </c>
    </row>
    <row r="19" spans="1:8" x14ac:dyDescent="0.35">
      <c r="A19" s="4">
        <v>2781666</v>
      </c>
      <c r="B19" t="s">
        <v>71</v>
      </c>
      <c r="C19" t="s">
        <v>72</v>
      </c>
      <c r="D19" s="3" t="s">
        <v>73</v>
      </c>
      <c r="E19" s="6">
        <f t="shared" si="0"/>
        <v>0.69178240740438923</v>
      </c>
      <c r="H19" s="4">
        <v>0</v>
      </c>
    </row>
    <row r="20" spans="1:8" x14ac:dyDescent="0.35">
      <c r="A20" s="4">
        <v>2783541</v>
      </c>
      <c r="B20" t="s">
        <v>74</v>
      </c>
      <c r="C20" t="s">
        <v>75</v>
      </c>
      <c r="D20" s="3" t="s">
        <v>76</v>
      </c>
      <c r="E20" s="6">
        <f t="shared" si="0"/>
        <v>0.54083333333983319</v>
      </c>
      <c r="H20" s="4">
        <v>0</v>
      </c>
    </row>
    <row r="21" spans="1:8" x14ac:dyDescent="0.35">
      <c r="A21" s="4">
        <v>2784369</v>
      </c>
      <c r="B21" t="s">
        <v>77</v>
      </c>
      <c r="C21" t="s">
        <v>78</v>
      </c>
      <c r="D21" s="3" t="s">
        <v>79</v>
      </c>
      <c r="E21" s="6">
        <f t="shared" si="0"/>
        <v>0.26561342592322035</v>
      </c>
      <c r="F21" t="s">
        <v>3</v>
      </c>
      <c r="H21" s="4">
        <v>0</v>
      </c>
    </row>
    <row r="22" spans="1:8" x14ac:dyDescent="0.35">
      <c r="A22" s="4">
        <v>2784461</v>
      </c>
      <c r="B22" t="s">
        <v>80</v>
      </c>
      <c r="C22" t="s">
        <v>81</v>
      </c>
      <c r="D22" s="3" t="s">
        <v>82</v>
      </c>
      <c r="E22" s="6">
        <f t="shared" si="0"/>
        <v>0.19642361110891216</v>
      </c>
      <c r="F22" t="s">
        <v>2</v>
      </c>
      <c r="H22" s="4">
        <v>0</v>
      </c>
    </row>
    <row r="23" spans="1:8" x14ac:dyDescent="0.35">
      <c r="A23" s="4">
        <v>2784468</v>
      </c>
      <c r="B23" t="s">
        <v>83</v>
      </c>
      <c r="C23" t="s">
        <v>84</v>
      </c>
      <c r="D23" s="3" t="s">
        <v>85</v>
      </c>
      <c r="E23" s="6">
        <f t="shared" si="0"/>
        <v>0.190150462964084</v>
      </c>
      <c r="F23" t="s">
        <v>6</v>
      </c>
      <c r="H23" s="4">
        <v>0</v>
      </c>
    </row>
    <row r="24" spans="1:8" x14ac:dyDescent="0.35">
      <c r="A24" s="4">
        <v>2784381</v>
      </c>
      <c r="B24" t="s">
        <v>86</v>
      </c>
      <c r="C24" t="s">
        <v>87</v>
      </c>
      <c r="D24" s="3" t="s">
        <v>88</v>
      </c>
      <c r="E24" s="6">
        <f t="shared" si="0"/>
        <v>0.16512731481634546</v>
      </c>
      <c r="F24" t="s">
        <v>2</v>
      </c>
      <c r="H24" s="4">
        <v>0</v>
      </c>
    </row>
    <row r="25" spans="1:8" x14ac:dyDescent="0.35">
      <c r="A25" s="4">
        <v>2784366</v>
      </c>
      <c r="B25" t="s">
        <v>89</v>
      </c>
      <c r="C25" t="s">
        <v>90</v>
      </c>
      <c r="D25" s="3" t="s">
        <v>91</v>
      </c>
      <c r="E25" s="6">
        <f t="shared" si="0"/>
        <v>0.13561342592583969</v>
      </c>
      <c r="F25" t="s">
        <v>4</v>
      </c>
      <c r="H25" s="4">
        <v>0</v>
      </c>
    </row>
    <row r="26" spans="1:8" x14ac:dyDescent="0.35">
      <c r="A26" s="4">
        <v>2784635</v>
      </c>
      <c r="B26" t="s">
        <v>92</v>
      </c>
      <c r="C26" t="s">
        <v>93</v>
      </c>
      <c r="D26" s="3" t="s">
        <v>94</v>
      </c>
      <c r="E26" s="6">
        <f t="shared" si="0"/>
        <v>9.5532407409336884E-2</v>
      </c>
      <c r="F26" t="s">
        <v>4</v>
      </c>
      <c r="H26" s="4">
        <v>0</v>
      </c>
    </row>
    <row r="27" spans="1:8" x14ac:dyDescent="0.35">
      <c r="A27" s="4">
        <v>2784667</v>
      </c>
      <c r="B27" t="s">
        <v>95</v>
      </c>
      <c r="C27" t="s">
        <v>96</v>
      </c>
      <c r="D27" s="3" t="s">
        <v>97</v>
      </c>
      <c r="E27" s="6">
        <f t="shared" si="0"/>
        <v>6.2280092599394266E-2</v>
      </c>
      <c r="F27" t="s">
        <v>3</v>
      </c>
      <c r="H27" s="4">
        <v>0</v>
      </c>
    </row>
    <row r="28" spans="1:8" x14ac:dyDescent="0.35">
      <c r="A28" s="4">
        <v>2784709</v>
      </c>
      <c r="B28" t="s">
        <v>74</v>
      </c>
      <c r="C28" t="s">
        <v>98</v>
      </c>
      <c r="D28" s="3" t="s">
        <v>99</v>
      </c>
      <c r="E28" s="6">
        <f t="shared" si="0"/>
        <v>3.9432870369637385E-2</v>
      </c>
      <c r="F28" t="s">
        <v>7</v>
      </c>
      <c r="H28" s="4">
        <v>0</v>
      </c>
    </row>
    <row r="29" spans="1:8" x14ac:dyDescent="0.35">
      <c r="A29" s="4">
        <v>2784657</v>
      </c>
      <c r="B29" t="s">
        <v>100</v>
      </c>
      <c r="C29" t="s">
        <v>101</v>
      </c>
      <c r="D29" s="3" t="s">
        <v>102</v>
      </c>
      <c r="E29" s="6">
        <f t="shared" si="0"/>
        <v>3.5798611112113576E-2</v>
      </c>
      <c r="F29" t="s">
        <v>7</v>
      </c>
      <c r="H29" s="4">
        <v>0</v>
      </c>
    </row>
    <row r="30" spans="1:8" x14ac:dyDescent="0.35">
      <c r="A30" s="4">
        <v>2784532</v>
      </c>
      <c r="B30" t="s">
        <v>103</v>
      </c>
      <c r="C30" t="s">
        <v>104</v>
      </c>
      <c r="D30" s="3" t="s">
        <v>105</v>
      </c>
      <c r="E30" s="6">
        <f t="shared" si="0"/>
        <v>2.7418981480877846E-2</v>
      </c>
      <c r="F30" t="s">
        <v>4</v>
      </c>
      <c r="H30" s="4">
        <v>0</v>
      </c>
    </row>
    <row r="31" spans="1:8" x14ac:dyDescent="0.35">
      <c r="A31" s="4">
        <v>2784727</v>
      </c>
      <c r="B31" t="s">
        <v>106</v>
      </c>
      <c r="C31" t="s">
        <v>107</v>
      </c>
      <c r="D31" s="3" t="s">
        <v>108</v>
      </c>
      <c r="E31" s="6">
        <f t="shared" si="0"/>
        <v>2.7013888888177462E-2</v>
      </c>
      <c r="F31" t="s">
        <v>2</v>
      </c>
      <c r="H31" s="4">
        <v>-27821</v>
      </c>
    </row>
    <row r="32" spans="1:8" x14ac:dyDescent="0.35">
      <c r="A32" s="4">
        <v>2784731</v>
      </c>
      <c r="B32" t="s">
        <v>74</v>
      </c>
      <c r="C32" t="s">
        <v>109</v>
      </c>
      <c r="D32" s="3" t="s">
        <v>99</v>
      </c>
      <c r="E32" s="6">
        <f t="shared" si="0"/>
        <v>2.2743055553291924E-2</v>
      </c>
      <c r="F32" t="s">
        <v>7</v>
      </c>
      <c r="H32" s="4">
        <v>0</v>
      </c>
    </row>
    <row r="33" spans="1:8" x14ac:dyDescent="0.35">
      <c r="A33" s="4">
        <v>2784579</v>
      </c>
      <c r="B33" t="s">
        <v>110</v>
      </c>
      <c r="C33" t="s">
        <v>111</v>
      </c>
      <c r="D33" s="3" t="s">
        <v>112</v>
      </c>
      <c r="E33" s="6">
        <f t="shared" si="0"/>
        <v>2.1932870367891155E-2</v>
      </c>
      <c r="F33" t="s">
        <v>2</v>
      </c>
      <c r="H33" s="4">
        <v>0</v>
      </c>
    </row>
    <row r="34" spans="1:8" x14ac:dyDescent="0.35">
      <c r="A34" s="4">
        <v>2784666</v>
      </c>
      <c r="B34" t="s">
        <v>113</v>
      </c>
      <c r="C34" t="s">
        <v>114</v>
      </c>
      <c r="D34" s="3" t="s">
        <v>115</v>
      </c>
      <c r="E34" s="6">
        <f t="shared" si="0"/>
        <v>1.9351851849933155E-2</v>
      </c>
      <c r="F34" t="s">
        <v>7</v>
      </c>
      <c r="H34" s="4">
        <v>0</v>
      </c>
    </row>
    <row r="35" spans="1:8" x14ac:dyDescent="0.35">
      <c r="A35" s="4">
        <v>2784735</v>
      </c>
      <c r="B35" t="s">
        <v>74</v>
      </c>
      <c r="C35" t="s">
        <v>116</v>
      </c>
      <c r="D35" s="3" t="s">
        <v>99</v>
      </c>
      <c r="E35" s="6">
        <f t="shared" si="0"/>
        <v>1.894675925723277E-2</v>
      </c>
      <c r="F35" t="s">
        <v>7</v>
      </c>
      <c r="H35" s="4">
        <v>0</v>
      </c>
    </row>
    <row r="36" spans="1:8" x14ac:dyDescent="0.35">
      <c r="A36" s="4">
        <v>2784405</v>
      </c>
      <c r="B36" t="s">
        <v>117</v>
      </c>
      <c r="C36" t="s">
        <v>118</v>
      </c>
      <c r="D36" s="3" t="s">
        <v>119</v>
      </c>
      <c r="E36" s="6">
        <f t="shared" si="0"/>
        <v>1.2777777774317656E-2</v>
      </c>
      <c r="F36" t="s">
        <v>4</v>
      </c>
      <c r="H36" s="4">
        <v>0</v>
      </c>
    </row>
    <row r="37" spans="1:8" x14ac:dyDescent="0.35">
      <c r="A37" s="4">
        <v>2784745</v>
      </c>
      <c r="B37" t="s">
        <v>120</v>
      </c>
      <c r="C37" t="s">
        <v>121</v>
      </c>
      <c r="D37" s="3" t="s">
        <v>122</v>
      </c>
      <c r="E37" s="6">
        <f t="shared" si="0"/>
        <v>7.4074074072996154E-3</v>
      </c>
      <c r="H37" s="4">
        <v>0</v>
      </c>
    </row>
    <row r="38" spans="1:8" x14ac:dyDescent="0.35">
      <c r="A38" s="4">
        <v>2784746</v>
      </c>
      <c r="B38" t="s">
        <v>74</v>
      </c>
      <c r="C38" t="s">
        <v>123</v>
      </c>
      <c r="D38" s="3" t="s">
        <v>99</v>
      </c>
      <c r="E38" s="6">
        <f t="shared" si="0"/>
        <v>5.4398148131440394E-3</v>
      </c>
      <c r="F38" t="s">
        <v>7</v>
      </c>
      <c r="H38" s="4">
        <v>0</v>
      </c>
    </row>
    <row r="39" spans="1:8" x14ac:dyDescent="0.35">
      <c r="A39" s="4">
        <v>2784750</v>
      </c>
      <c r="B39" t="s">
        <v>124</v>
      </c>
      <c r="C39" t="s">
        <v>125</v>
      </c>
      <c r="D39" s="3" t="s">
        <v>126</v>
      </c>
      <c r="E39" s="6">
        <f t="shared" si="0"/>
        <v>3.425925926421769E-3</v>
      </c>
      <c r="F39" t="s">
        <v>7</v>
      </c>
      <c r="H39" s="4">
        <v>0</v>
      </c>
    </row>
    <row r="40" spans="1:8" x14ac:dyDescent="0.35">
      <c r="A40" s="4">
        <v>2784426</v>
      </c>
      <c r="B40" t="s">
        <v>74</v>
      </c>
      <c r="C40" t="s">
        <v>127</v>
      </c>
      <c r="D40" s="3" t="s">
        <v>128</v>
      </c>
      <c r="E40" s="6">
        <f t="shared" si="0"/>
        <v>1.6203703853534535E-4</v>
      </c>
      <c r="H40" s="4">
        <v>0</v>
      </c>
    </row>
    <row r="41" spans="1:8" x14ac:dyDescent="0.35">
      <c r="A41" s="4">
        <v>2784511</v>
      </c>
      <c r="B41" t="s">
        <v>74</v>
      </c>
      <c r="C41" t="s">
        <v>129</v>
      </c>
      <c r="D41" s="3" t="s">
        <v>130</v>
      </c>
      <c r="E41" s="6">
        <f t="shared" si="0"/>
        <v>1.273148154723458E-4</v>
      </c>
      <c r="H41" s="4">
        <v>0</v>
      </c>
    </row>
    <row r="42" spans="1:8" x14ac:dyDescent="0.35">
      <c r="A42" s="4">
        <v>2784504</v>
      </c>
      <c r="B42" t="s">
        <v>74</v>
      </c>
      <c r="C42" t="s">
        <v>131</v>
      </c>
      <c r="D42" s="3" t="s">
        <v>132</v>
      </c>
      <c r="E42" s="6">
        <f t="shared" si="0"/>
        <v>9.2592592409346253E-5</v>
      </c>
      <c r="H42" s="4">
        <v>0</v>
      </c>
    </row>
    <row r="43" spans="1:8" x14ac:dyDescent="0.35">
      <c r="A43" s="4">
        <v>2784568</v>
      </c>
      <c r="B43" t="s">
        <v>133</v>
      </c>
      <c r="C43" t="s">
        <v>134</v>
      </c>
      <c r="D43" s="3" t="s">
        <v>135</v>
      </c>
      <c r="E43" s="6">
        <f t="shared" si="0"/>
        <v>8.101852290565148E-5</v>
      </c>
      <c r="H43" s="4">
        <v>0</v>
      </c>
    </row>
    <row r="44" spans="1:8" x14ac:dyDescent="0.35">
      <c r="A44" s="4">
        <v>2784507</v>
      </c>
      <c r="B44" t="s">
        <v>74</v>
      </c>
      <c r="C44" t="s">
        <v>136</v>
      </c>
      <c r="D44" s="3" t="s">
        <v>137</v>
      </c>
      <c r="E44" s="6">
        <f t="shared" si="0"/>
        <v>1.1574076779652387E-5</v>
      </c>
      <c r="H44" s="4">
        <v>0</v>
      </c>
    </row>
    <row r="45" spans="1:8" x14ac:dyDescent="0.35">
      <c r="A45" s="4">
        <v>2784669</v>
      </c>
      <c r="B45" t="s">
        <v>74</v>
      </c>
      <c r="C45" t="s">
        <v>138</v>
      </c>
      <c r="D45" s="3" t="s">
        <v>138</v>
      </c>
      <c r="E45" s="6">
        <f t="shared" si="0"/>
        <v>0</v>
      </c>
      <c r="H45" s="4">
        <v>0</v>
      </c>
    </row>
    <row r="46" spans="1:8" x14ac:dyDescent="0.35">
      <c r="A46" s="4">
        <v>2784708</v>
      </c>
      <c r="B46" t="s">
        <v>74</v>
      </c>
      <c r="C46" t="s">
        <v>139</v>
      </c>
      <c r="D46" s="3" t="s">
        <v>139</v>
      </c>
      <c r="E46" s="6">
        <f t="shared" si="0"/>
        <v>0</v>
      </c>
      <c r="H46" s="4">
        <v>0</v>
      </c>
    </row>
    <row r="47" spans="1:8" x14ac:dyDescent="0.35">
      <c r="A47" s="4">
        <v>2784676</v>
      </c>
      <c r="B47" t="s">
        <v>140</v>
      </c>
      <c r="C47" t="s">
        <v>141</v>
      </c>
      <c r="E47" s="6">
        <f t="shared" si="0"/>
        <v>-46083.572083333333</v>
      </c>
      <c r="H47" s="4">
        <v>0</v>
      </c>
    </row>
  </sheetData>
  <sortState xmlns:xlrd2="http://schemas.microsoft.com/office/spreadsheetml/2017/richdata2" ref="A2:I48">
    <sortCondition descending="1" ref="E1:E48"/>
  </sortState>
  <pageMargins left="0.7" right="0.7" top="0.75" bottom="0.75" header="0.3" footer="0.3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gichuru</cp:lastModifiedBy>
  <cp:revision/>
  <dcterms:created xsi:type="dcterms:W3CDTF">2026-03-02T12:30:50Z</dcterms:created>
  <dcterms:modified xsi:type="dcterms:W3CDTF">2026-03-03T05:29:54Z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2026-03-02T12:17:44Z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7d643049-9205-49b9-bb2f-ec536cc9a3b9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